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charts/colors3.xml" ContentType="application/vnd.ms-office.chartcolorstyle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charts/style3.xml" ContentType="application/vnd.ms-office.chartstyle+xml"/>
  <Override PartName="/xl/charts/colors2.xml" ContentType="application/vnd.ms-office.chartcolorsty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hart3.xml" ContentType="application/vnd.openxmlformats-officedocument.drawingml.chart+xml"/>
  <Override PartName="/xl/charts/colors1.xml" ContentType="application/vnd.ms-office.chartcolorstyle+xml"/>
  <Override PartName="/xl/charts/style2.xml" ContentType="application/vnd.ms-office.chartstyle+xml"/>
  <Override PartName="/xl/charts/chart2.xml" ContentType="application/vnd.openxmlformats-officedocument.drawingml.chart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8\"/>
    </mc:Choice>
  </mc:AlternateContent>
  <bookViews>
    <workbookView xWindow="0" yWindow="0" windowWidth="25200" windowHeight="12570"/>
  </bookViews>
  <sheets>
    <sheet name="Home Loan Comparison" sheetId="1" r:id="rId1"/>
  </sheets>
  <definedNames>
    <definedName name="LoanAmount">'Home Loan Comparison'!$D$5</definedName>
    <definedName name="_xlnm.Print_Titles" localSheetId="0">'Home Loan Comparison'!$21:$21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2" i="1" l="1"/>
  <c r="L22" i="1" s="1"/>
  <c r="M22" i="1"/>
  <c r="J23" i="1"/>
  <c r="L23" i="1" s="1"/>
  <c r="M23" i="1"/>
  <c r="M24" i="1"/>
  <c r="M25" i="1"/>
  <c r="J25" i="1"/>
  <c r="L25" i="1" s="1"/>
  <c r="J24" i="1"/>
  <c r="L24" i="1" s="1"/>
</calcChain>
</file>

<file path=xl/sharedStrings.xml><?xml version="1.0" encoding="utf-8"?>
<sst xmlns="http://schemas.openxmlformats.org/spreadsheetml/2006/main" count="26" uniqueCount="21">
  <si>
    <t>DATE</t>
  </si>
  <si>
    <t>AMOUNT</t>
  </si>
  <si>
    <t>#</t>
  </si>
  <si>
    <t>Fixed</t>
  </si>
  <si>
    <t>APR</t>
  </si>
  <si>
    <t>Adjustable</t>
  </si>
  <si>
    <t>BANK</t>
  </si>
  <si>
    <t>TYPE</t>
  </si>
  <si>
    <t>TERM</t>
  </si>
  <si>
    <t>YEARS AMORTIZED</t>
  </si>
  <si>
    <t>RATE</t>
  </si>
  <si>
    <t>POINTS</t>
  </si>
  <si>
    <t>$ POINTS</t>
  </si>
  <si>
    <t>$ CLOSING</t>
  </si>
  <si>
    <t>UP FRONT</t>
  </si>
  <si>
    <t>PAYMENT</t>
  </si>
  <si>
    <t>YEAR-1 CAP</t>
  </si>
  <si>
    <t>YEARLY CAP</t>
  </si>
  <si>
    <t>LIFETIME CAP</t>
  </si>
  <si>
    <r>
      <t xml:space="preserve">HOME LOAN </t>
    </r>
    <r>
      <rPr>
        <b/>
        <i/>
        <sz val="34"/>
        <color theme="8"/>
        <rFont val="Trebuchet MS"/>
        <family val="2"/>
        <scheme val="major"/>
      </rPr>
      <t>COMPARISON</t>
    </r>
  </si>
  <si>
    <t>Woodgrove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</si>
</sst>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&quot;$&quot;#,##0"/>
    <numFmt numFmtId="165" formatCode="0.000%"/>
  </numFmts>
  <fonts count="7" x14ac:knownFonts="1">
    <font>
      <sz val="10"/>
      <color theme="1" tint="0.34998626667073579"/>
      <name val="Trebuchet MS"/>
      <family val="2"/>
      <scheme val="minor"/>
    </font>
    <font>
      <sz val="11"/>
      <color theme="1" tint="0.34998626667073579"/>
      <name val="Trebuchet MS"/>
      <family val="2"/>
      <scheme val="minor"/>
    </font>
    <font>
      <sz val="10"/>
      <color theme="1" tint="0.34998626667073579"/>
      <name val="Trebuchet MS"/>
      <family val="2"/>
      <scheme val="minor"/>
    </font>
    <font>
      <b/>
      <sz val="34"/>
      <color theme="0"/>
      <name val="Trebuchet MS"/>
      <family val="2"/>
      <scheme val="major"/>
    </font>
    <font>
      <b/>
      <i/>
      <sz val="34"/>
      <color theme="8"/>
      <name val="Trebuchet MS"/>
      <family val="2"/>
      <scheme val="major"/>
    </font>
    <font>
      <sz val="18"/>
      <color theme="1" tint="0.34998626667073579"/>
      <name val="Trebuchet MS"/>
      <family val="2"/>
      <scheme val="minor"/>
    </font>
    <font>
      <b/>
      <sz val="18"/>
      <color theme="1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theme="1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8"/>
      </bottom>
      <diagonal/>
    </border>
  </borders>
  <cellStyleXfs count="6">
    <xf numFmtId="0" fontId="0" fillId="0" borderId="0">
      <alignment vertical="center"/>
    </xf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5" fillId="2" borderId="1" applyNumberFormat="0" applyFill="0" applyBorder="0" applyProtection="0">
      <alignment horizontal="right" vertical="center"/>
    </xf>
    <xf numFmtId="0" fontId="2" fillId="3" borderId="0" applyNumberFormat="0" applyFont="0" applyBorder="0" applyAlignment="0" applyProtection="0">
      <alignment vertical="center"/>
    </xf>
    <xf numFmtId="0" fontId="6" fillId="2" borderId="0" applyNumberFormat="0" applyFill="0" applyBorder="0" applyProtection="0">
      <alignment horizontal="left" vertical="center"/>
    </xf>
  </cellStyleXfs>
  <cellXfs count="19">
    <xf numFmtId="0" fontId="0" fillId="0" borderId="0" xfId="0">
      <alignment vertical="center"/>
    </xf>
    <xf numFmtId="2" fontId="0" fillId="0" borderId="0" xfId="0" applyNumberFormat="1" applyAlignment="1">
      <alignment horizontal="center" vertical="center"/>
    </xf>
    <xf numFmtId="0" fontId="0" fillId="3" borderId="0" xfId="4" applyFont="1">
      <alignment vertical="center"/>
    </xf>
    <xf numFmtId="0" fontId="3" fillId="3" borderId="0" xfId="1" applyFill="1" applyAlignment="1">
      <alignment vertical="center"/>
    </xf>
    <xf numFmtId="164" fontId="5" fillId="0" borderId="0" xfId="2" applyFont="1" applyFill="1" applyBorder="1" applyAlignment="1">
      <alignment horizontal="right" vertical="center"/>
    </xf>
    <xf numFmtId="0" fontId="6" fillId="0" borderId="0" xfId="5" applyFill="1">
      <alignment horizontal="left" vertical="center"/>
    </xf>
    <xf numFmtId="0" fontId="6" fillId="0" borderId="2" xfId="5" applyFill="1" applyBorder="1">
      <alignment horizontal="left" vertical="center"/>
    </xf>
    <xf numFmtId="0" fontId="0" fillId="0" borderId="2" xfId="0" applyBorder="1">
      <alignment vertical="center"/>
    </xf>
    <xf numFmtId="14" fontId="5" fillId="0" borderId="2" xfId="3" applyNumberFormat="1" applyFill="1" applyBorder="1">
      <alignment horizontal="right" vertic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>
      <alignment vertical="center"/>
    </xf>
    <xf numFmtId="0" fontId="0" fillId="0" borderId="0" xfId="0" applyFont="1" applyBorder="1" applyAlignment="1">
      <alignment horizontal="right" indent="2"/>
    </xf>
    <xf numFmtId="0" fontId="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8" fontId="0" fillId="0" borderId="0" xfId="0" applyNumberFormat="1" applyFont="1" applyBorder="1" applyAlignment="1">
      <alignment horizontal="right" vertical="center"/>
    </xf>
    <xf numFmtId="8" fontId="0" fillId="0" borderId="0" xfId="0" applyNumberFormat="1" applyFont="1" applyFill="1" applyBorder="1" applyAlignment="1">
      <alignment horizontal="right" vertical="center"/>
    </xf>
  </cellXfs>
  <cellStyles count="6">
    <cellStyle name="Contrast Background" xfId="4"/>
    <cellStyle name="Currency [0]" xfId="2" builtinId="7" customBuiltin="1"/>
    <cellStyle name="Input" xfId="3" builtinId="20" customBuiltin="1"/>
    <cellStyle name="Input Labels" xfId="5"/>
    <cellStyle name="Normal" xfId="0" builtinId="0" customBuiltin="1"/>
    <cellStyle name="Title" xfId="1" builtinId="15" customBuiltin="1"/>
  </cellStyles>
  <dxfs count="17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alignment horizontal="center" vertical="center" textRotation="0" wrapText="0" indent="0" justifyLastLine="0" shrinkToFit="0" readingOrder="0"/>
    </dxf>
    <dxf>
      <numFmt numFmtId="165" formatCode="0.000%"/>
      <alignment horizontal="center" vertical="center" textRotation="0" wrapText="0" indent="0" justifyLastLine="0" shrinkToFit="0" readingOrder="0"/>
    </dxf>
    <dxf>
      <numFmt numFmtId="165" formatCode="0.0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1"/>
      </font>
      <border>
        <bottom style="thin">
          <color theme="8"/>
        </bottom>
      </border>
    </dxf>
    <dxf>
      <font>
        <color theme="1" tint="0.34998626667073579"/>
      </font>
      <border diagonalUp="0" diagonalDown="0">
        <left/>
        <right/>
        <top/>
        <bottom/>
        <vertical style="thin">
          <color theme="8"/>
        </vertical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2" defaultTableStyle="Home Loan Comparison" defaultPivotStyle="PivotStyleLight6">
    <tableStyle name="Custom Slicer Style" pivot="0" table="0" count="10">
      <tableStyleElement type="wholeTable" dxfId="16"/>
      <tableStyleElement type="headerRow" dxfId="15"/>
    </tableStyle>
    <tableStyle name="Home Loan Comparison" pivot="0" count="2">
      <tableStyleElement type="wholeTable" dxfId="14"/>
      <tableStyleElement type="headerRow" dxfId="13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Custom Slicer Style">
        <x14:slicerStyle name="Custom Slicer Styl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</a:rPr>
              <a:t>INTEREST</a:t>
            </a:r>
            <a:r>
              <a:rPr lang="en-US" sz="1200" b="1" baseline="0">
                <a:solidFill>
                  <a:schemeClr val="bg1"/>
                </a:solidFill>
              </a:rPr>
              <a:t> </a:t>
            </a:r>
            <a:r>
              <a:rPr lang="en-US" sz="1200" b="1">
                <a:solidFill>
                  <a:schemeClr val="bg1"/>
                </a:solidFill>
              </a:rPr>
              <a:t>RATE</a:t>
            </a:r>
            <a:r>
              <a:rPr lang="en-US" sz="1200">
                <a:solidFill>
                  <a:schemeClr val="bg1"/>
                </a:solidFill>
              </a:rPr>
              <a:t> </a:t>
            </a:r>
            <a:r>
              <a:rPr lang="en-US" sz="1200" i="1">
                <a:solidFill>
                  <a:schemeClr val="accent5"/>
                </a:solidFill>
              </a:rPr>
              <a:t>COMPARISON</a:t>
            </a:r>
          </a:p>
        </c:rich>
      </c:tx>
      <c:layout>
        <c:manualLayout>
          <c:xMode val="edge"/>
          <c:yMode val="edge"/>
          <c:x val="9.8210612186990134E-2"/>
          <c:y val="3.4940600978336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tx>
            <c:strRef>
              <c:f>'Home Loan Comparison'!$G$21</c:f>
              <c:strCache>
                <c:ptCount val="1"/>
                <c:pt idx="0">
                  <c:v>RATE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ED950188-5EE9-4F86-968B-189E2836C6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CD254996-2C36-48C0-B6FF-798FF6E2C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B13B2435-A5C2-42A3-9F33-D26F685F40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BFEA2121-561E-4F6F-816D-DC4D98485C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val>
            <c:numRef>
              <c:f>'Home Loan Comparison'!$G$22:$G$25</c:f>
              <c:numCache>
                <c:formatCode>0.000%</c:formatCode>
                <c:ptCount val="4"/>
                <c:pt idx="0">
                  <c:v>2.5000000000000001E-2</c:v>
                </c:pt>
                <c:pt idx="1">
                  <c:v>2.6249999999999999E-2</c:v>
                </c:pt>
                <c:pt idx="2">
                  <c:v>3.5000000000000003E-2</c:v>
                </c:pt>
                <c:pt idx="3">
                  <c:v>2.8750000000000001E-2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'Home Loan Comparison'!$B$22:$B$25</c15:f>
                <c15:dlblRangeCache>
                  <c:ptCount val="4"/>
                  <c:pt idx="0">
                    <c:v>4</c:v>
                  </c:pt>
                  <c:pt idx="1">
                    <c:v>3</c:v>
                  </c:pt>
                  <c:pt idx="2">
                    <c:v>1</c:v>
                  </c:pt>
                  <c:pt idx="3">
                    <c:v>2</c:v>
                  </c:pt>
                </c15:dlblRangeCache>
              </c15:datalabelsRange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9"/>
        <c:overlap val="-35"/>
        <c:axId val="235624368"/>
        <c:axId val="235624760"/>
      </c:barChart>
      <c:catAx>
        <c:axId val="235624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35624760"/>
        <c:crosses val="autoZero"/>
        <c:auto val="1"/>
        <c:lblAlgn val="ctr"/>
        <c:lblOffset val="100"/>
        <c:noMultiLvlLbl val="0"/>
      </c:catAx>
      <c:valAx>
        <c:axId val="2356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2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</a:rPr>
              <a:t>UP-FRONT</a:t>
            </a:r>
            <a:r>
              <a:rPr lang="en-US" sz="1200">
                <a:solidFill>
                  <a:schemeClr val="bg1"/>
                </a:solidFill>
              </a:rPr>
              <a:t> </a:t>
            </a:r>
            <a:r>
              <a:rPr lang="en-US" sz="1200" i="1">
                <a:solidFill>
                  <a:schemeClr val="accent5"/>
                </a:solidFill>
              </a:rPr>
              <a:t>COSTS</a:t>
            </a:r>
          </a:p>
        </c:rich>
      </c:tx>
      <c:layout>
        <c:manualLayout>
          <c:xMode val="edge"/>
          <c:yMode val="edge"/>
          <c:x val="0.15801470153851346"/>
          <c:y val="4.1928721174004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tx>
            <c:strRef>
              <c:f>'Home Loan Comparison'!$L$21</c:f>
              <c:strCache>
                <c:ptCount val="1"/>
                <c:pt idx="0">
                  <c:v>UP FRONT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4182A8C8-50D8-4BF0-9E35-6DF28F95EE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9C274CE-50BC-429F-B9BD-C2F029E838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6ED8AC3F-C801-41E6-90A4-5008A9DA1F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E40C41CD-E374-4551-BCE1-45D8877BB2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'Home Loan Comparison'!$L$22:$L$25</c:f>
              <c:numCache>
                <c:formatCode>"$"#,##0.00_);[Red]\("$"#,##0.00\)</c:formatCode>
                <c:ptCount val="4"/>
                <c:pt idx="0">
                  <c:v>5000</c:v>
                </c:pt>
                <c:pt idx="1">
                  <c:v>4750</c:v>
                </c:pt>
                <c:pt idx="2">
                  <c:v>4000.0000000000005</c:v>
                </c:pt>
                <c:pt idx="3">
                  <c:v>4200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'Home Loan Comparison'!$B$22:$B$25</c15:f>
                <c15:dlblRangeCache>
                  <c:ptCount val="4"/>
                  <c:pt idx="0">
                    <c:v>4</c:v>
                  </c:pt>
                  <c:pt idx="1">
                    <c:v>3</c:v>
                  </c:pt>
                  <c:pt idx="2">
                    <c:v>1</c:v>
                  </c:pt>
                  <c:pt idx="3">
                    <c:v>2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9"/>
        <c:overlap val="-35"/>
        <c:axId val="235625544"/>
        <c:axId val="235625936"/>
      </c:barChart>
      <c:catAx>
        <c:axId val="235625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35625936"/>
        <c:crosses val="autoZero"/>
        <c:auto val="1"/>
        <c:lblAlgn val="ctr"/>
        <c:lblOffset val="100"/>
        <c:noMultiLvlLbl val="0"/>
      </c:catAx>
      <c:valAx>
        <c:axId val="2356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2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</a:rPr>
              <a:t>MONTHLY</a:t>
            </a:r>
            <a:r>
              <a:rPr lang="en-US" sz="1200">
                <a:solidFill>
                  <a:schemeClr val="bg1"/>
                </a:solidFill>
              </a:rPr>
              <a:t> </a:t>
            </a:r>
            <a:r>
              <a:rPr lang="en-US" sz="1200" i="1">
                <a:solidFill>
                  <a:schemeClr val="accent5"/>
                </a:solidFill>
              </a:rPr>
              <a:t>PAYMENTS</a:t>
            </a:r>
          </a:p>
        </c:rich>
      </c:tx>
      <c:layout>
        <c:manualLayout>
          <c:xMode val="edge"/>
          <c:yMode val="edge"/>
          <c:x val="3.0942439125802343E-2"/>
          <c:y val="4.1928721174004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1"/>
          <c:order val="0"/>
          <c:tx>
            <c:strRef>
              <c:f>'Home Loan Comparison'!$M$21</c:f>
              <c:strCache>
                <c:ptCount val="1"/>
                <c:pt idx="0">
                  <c:v>PAYMENT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EE6C5700-8B37-4F7E-9CF0-6D7DB93CB7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3D58FB44-1EB7-4361-90EE-78B5C9800D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353AF6FA-70F5-41B9-AE00-75B5E894F7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B6C9EF51-8812-4CE0-A3FE-91428756F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'Home Loan Comparison'!$M$22:$M$25</c:f>
              <c:numCache>
                <c:formatCode>"$"#,##0.00_);[Red]\("$"#,##0.00\)</c:formatCode>
                <c:ptCount val="4"/>
                <c:pt idx="0">
                  <c:v>790.23992975980923</c:v>
                </c:pt>
                <c:pt idx="1">
                  <c:v>803.29923307916533</c:v>
                </c:pt>
                <c:pt idx="2">
                  <c:v>898.08780183743761</c:v>
                </c:pt>
                <c:pt idx="3">
                  <c:v>1369.1669885772083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'Home Loan Comparison'!$B$22:$B$25</c15:f>
                <c15:dlblRangeCache>
                  <c:ptCount val="4"/>
                  <c:pt idx="0">
                    <c:v>4</c:v>
                  </c:pt>
                  <c:pt idx="1">
                    <c:v>3</c:v>
                  </c:pt>
                  <c:pt idx="2">
                    <c:v>1</c:v>
                  </c:pt>
                  <c:pt idx="3">
                    <c:v>2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9"/>
        <c:axId val="242049864"/>
        <c:axId val="242050256"/>
      </c:barChart>
      <c:catAx>
        <c:axId val="242049864"/>
        <c:scaling>
          <c:orientation val="minMax"/>
        </c:scaling>
        <c:delete val="1"/>
        <c:axPos val="l"/>
        <c:majorTickMark val="none"/>
        <c:minorTickMark val="none"/>
        <c:tickLblPos val="nextTo"/>
        <c:crossAx val="242050256"/>
        <c:crosses val="autoZero"/>
        <c:auto val="1"/>
        <c:lblAlgn val="ctr"/>
        <c:lblOffset val="100"/>
        <c:noMultiLvlLbl val="0"/>
      </c:catAx>
      <c:valAx>
        <c:axId val="24205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4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400051</xdr:colOff>
      <xdr:row>7</xdr:row>
      <xdr:rowOff>152400</xdr:rowOff>
    </xdr:from>
    <xdr:to>
      <xdr:col>4</xdr:col>
      <xdr:colOff>276226</xdr:colOff>
      <xdr:row>17</xdr:row>
      <xdr:rowOff>64770</xdr:rowOff>
    </xdr:to>
    <xdr:graphicFrame macro="">
      <xdr:nvGraphicFramePr>
        <xdr:cNvPr id="2" name="Chart 1" descr="Column chart that compares interest rates for all for loans." title="Interest Rate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152400</xdr:rowOff>
    </xdr:from>
    <xdr:to>
      <xdr:col>8</xdr:col>
      <xdr:colOff>457200</xdr:colOff>
      <xdr:row>17</xdr:row>
      <xdr:rowOff>64770</xdr:rowOff>
    </xdr:to>
    <xdr:graphicFrame macro="">
      <xdr:nvGraphicFramePr>
        <xdr:cNvPr id="3" name="Chart 2" descr="Column chart that up-front costs for all loans" title="Up-Front Costs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180975</xdr:colOff>
      <xdr:row>7</xdr:row>
      <xdr:rowOff>152400</xdr:rowOff>
    </xdr:from>
    <xdr:to>
      <xdr:col>14</xdr:col>
      <xdr:colOff>457200</xdr:colOff>
      <xdr:row>17</xdr:row>
      <xdr:rowOff>64770</xdr:rowOff>
    </xdr:to>
    <xdr:graphicFrame macro="">
      <xdr:nvGraphicFramePr>
        <xdr:cNvPr id="4" name="Chart 3" descr="Bar chart that compares monthly paymnets for all loans." title="Monthly Payments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Loans" displayName="Loans" ref="B21:P25" totalsRowShown="0">
  <autoFilter ref="B21:P25"/>
  <sortState ref="B9:P12">
    <sortCondition ref="M8:M12"/>
  </sortState>
  <tableColumns count="15">
    <tableColumn id="1" name="#" dataDxfId="12"/>
    <tableColumn id="2" name="BANK"/>
    <tableColumn id="3" name="TYPE"/>
    <tableColumn id="16" name="TERM" dataDxfId="11"/>
    <tableColumn id="4" name="YEARS AMORTIZED" dataDxfId="10"/>
    <tableColumn id="5" name="RATE" dataDxfId="9"/>
    <tableColumn id="11" name="APR" dataDxfId="8"/>
    <tableColumn id="6" name="POINTS" dataDxfId="7"/>
    <tableColumn id="7" name="$ POINTS" dataDxfId="6">
      <calculatedColumnFormula>Loans[[#This Row],[POINTS]]/100*LoanAmount</calculatedColumnFormula>
    </tableColumn>
    <tableColumn id="8" name="$ CLOSING" dataDxfId="5"/>
    <tableColumn id="12" name="UP FRONT" dataDxfId="4">
      <calculatedColumnFormula>SUM(Loans[[#This Row],[$ POINTS]:[$ CLOSING]])</calculatedColumnFormula>
    </tableColumn>
    <tableColumn id="9" name="PAYMENT" dataDxfId="3">
      <calculatedColumnFormula>IFERROR(PMT(Loans[[#This Row],[RATE]]/12,Loans[[#This Row],[YEARS AMORTIZED]]*12,-LoanAmount,1),"")</calculatedColumnFormula>
    </tableColumn>
    <tableColumn id="10" name="YEAR-1 CAP" dataDxfId="2"/>
    <tableColumn id="13" name="YEARLY CAP" dataDxfId="1"/>
    <tableColumn id="14" name="LIFETIME CAP" dataDxfId="0"/>
  </tableColumns>
  <tableStyleInfo name="Home Loan Comparison" showFirstColumn="0" showLastColumn="0" showRowStripes="1" showColumnStripes="0"/>
  <extLst>
    <ext xmlns:x14="http://schemas.microsoft.com/office/spreadsheetml/2009/9/main" uri="{504A1905-F514-4f6f-8877-14C23A59335A}">
      <x14:table altText="Loans Table" altTextSummary="Details for loan comparison such as Loan #, Bank, Type, Term, Years Amortized, Rate, APR, Points, $ Points, $ Closing, Up Front Costs, Payment, Year-1 Cap, Yearly Cap, and Lifetime Cap. "/>
    </ext>
  </extLst>
</table>
</file>

<file path=xl/theme/theme1.xml><?xml version="1.0" encoding="utf-8"?>
<a:theme xmlns:a="http://schemas.openxmlformats.org/drawingml/2006/main" name="Office Theme">
  <a:themeElements>
    <a:clrScheme name="Home Loan Comparison">
      <a:dk1>
        <a:sysClr val="windowText" lastClr="000000"/>
      </a:dk1>
      <a:lt1>
        <a:sysClr val="window" lastClr="FFFFFF"/>
      </a:lt1>
      <a:dk2>
        <a:srgbClr val="37081B"/>
      </a:dk2>
      <a:lt2>
        <a:srgbClr val="EBF8FD"/>
      </a:lt2>
      <a:accent1>
        <a:srgbClr val="00A6E3"/>
      </a:accent1>
      <a:accent2>
        <a:srgbClr val="C8D459"/>
      </a:accent2>
      <a:accent3>
        <a:srgbClr val="DC1F6E"/>
      </a:accent3>
      <a:accent4>
        <a:srgbClr val="F28224"/>
      </a:accent4>
      <a:accent5>
        <a:srgbClr val="F0D642"/>
      </a:accent5>
      <a:accent6>
        <a:srgbClr val="9E4F99"/>
      </a:accent6>
      <a:hlink>
        <a:srgbClr val="00A6E3"/>
      </a:hlink>
      <a:folHlink>
        <a:srgbClr val="9E4F99"/>
      </a:folHlink>
    </a:clrScheme>
    <a:fontScheme name="Home Loan Comparison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A1:Q25"/>
  <sheetViews>
    <sheetView showGridLines="0" tabSelected="1" zoomScaleNormal="100" workbookViewId="0"/>
  </sheetViews>
  <sheetFormatPr defaultRowHeight="15" customHeight="1" x14ac:dyDescent="0.3"/>
  <cols>
    <col min="1" max="1" width="2.85546875" customWidth="1"/>
    <col min="3" max="3" width="17.28515625" customWidth="1"/>
    <col min="4" max="4" width="22" customWidth="1"/>
    <col min="5" max="5" width="12" customWidth="1"/>
    <col min="6" max="6" width="19.28515625" customWidth="1"/>
    <col min="9" max="9" width="10.42578125" customWidth="1"/>
    <col min="10" max="10" width="13" customWidth="1"/>
    <col min="11" max="11" width="14.140625" customWidth="1"/>
    <col min="12" max="13" width="13" customWidth="1"/>
    <col min="14" max="16" width="14.85546875" customWidth="1"/>
    <col min="17" max="17" width="2.85546875" customWidth="1"/>
  </cols>
  <sheetData>
    <row r="1" spans="1:17" ht="55.5" customHeight="1" x14ac:dyDescent="0.3">
      <c r="A1" s="2"/>
      <c r="B1" s="3" t="s">
        <v>19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4" spans="1:17" ht="23.25" x14ac:dyDescent="0.3">
      <c r="B4" s="6" t="s">
        <v>0</v>
      </c>
      <c r="C4" s="7"/>
      <c r="D4" s="8">
        <v>41153</v>
      </c>
    </row>
    <row r="5" spans="1:17" ht="23.25" x14ac:dyDescent="0.3">
      <c r="B5" s="5" t="s">
        <v>1</v>
      </c>
      <c r="D5" s="4">
        <v>200000</v>
      </c>
    </row>
    <row r="8" spans="1:17" ht="15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5" customHeight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5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5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ht="15" customHeigh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5" customHeight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ht="15" customHeight="1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ht="15" customHeigh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21" spans="1:17" ht="15" customHeight="1" x14ac:dyDescent="0.3">
      <c r="B21" s="9" t="s">
        <v>2</v>
      </c>
      <c r="C21" s="10" t="s">
        <v>6</v>
      </c>
      <c r="D21" s="10" t="s">
        <v>7</v>
      </c>
      <c r="E21" s="9" t="s">
        <v>8</v>
      </c>
      <c r="F21" s="10" t="s">
        <v>9</v>
      </c>
      <c r="G21" s="10" t="s">
        <v>10</v>
      </c>
      <c r="H21" s="10" t="s">
        <v>4</v>
      </c>
      <c r="I21" s="10" t="s">
        <v>11</v>
      </c>
      <c r="J21" s="11" t="s">
        <v>12</v>
      </c>
      <c r="K21" s="11" t="s">
        <v>13</v>
      </c>
      <c r="L21" s="11" t="s">
        <v>14</v>
      </c>
      <c r="M21" s="11" t="s">
        <v>15</v>
      </c>
      <c r="N21" s="10" t="s">
        <v>16</v>
      </c>
      <c r="O21" s="10" t="s">
        <v>17</v>
      </c>
      <c r="P21" s="10" t="s">
        <v>18</v>
      </c>
    </row>
    <row r="22" spans="1:17" ht="15" customHeight="1" x14ac:dyDescent="0.3">
      <c r="B22" s="12">
        <v>4</v>
      </c>
      <c r="C22" s="13" t="s">
        <v>20</v>
      </c>
      <c r="D22" s="13" t="s">
        <v>5</v>
      </c>
      <c r="E22" s="14">
        <v>5</v>
      </c>
      <c r="F22" s="14">
        <v>30</v>
      </c>
      <c r="G22" s="15">
        <v>2.5000000000000001E-2</v>
      </c>
      <c r="H22" s="15">
        <v>3.338E-2</v>
      </c>
      <c r="I22" s="16">
        <v>2</v>
      </c>
      <c r="J22" s="17">
        <f>Loans[[#This Row],[POINTS]]/100*LoanAmount</f>
        <v>4000</v>
      </c>
      <c r="K22" s="17">
        <v>1000</v>
      </c>
      <c r="L22" s="18">
        <f>SUM(Loans[[#This Row],[$ POINTS]:[$ CLOSING]])</f>
        <v>5000</v>
      </c>
      <c r="M22" s="18">
        <f>IFERROR(PMT(Loans[[#This Row],[RATE]]/12,Loans[[#This Row],[YEARS AMORTIZED]]*12,-LoanAmount,1),"")</f>
        <v>790.23992975980923</v>
      </c>
      <c r="N22" s="1">
        <v>5</v>
      </c>
      <c r="O22" s="1">
        <v>2</v>
      </c>
      <c r="P22" s="1">
        <v>5</v>
      </c>
    </row>
    <row r="23" spans="1:17" ht="15" customHeight="1" x14ac:dyDescent="0.3">
      <c r="B23" s="12">
        <v>3</v>
      </c>
      <c r="C23" s="13" t="s">
        <v>20</v>
      </c>
      <c r="D23" s="13" t="s">
        <v>5</v>
      </c>
      <c r="E23" s="14">
        <v>7</v>
      </c>
      <c r="F23" s="14">
        <v>30</v>
      </c>
      <c r="G23" s="15">
        <v>2.6249999999999999E-2</v>
      </c>
      <c r="H23" s="15">
        <v>3.252E-2</v>
      </c>
      <c r="I23" s="16">
        <v>2</v>
      </c>
      <c r="J23" s="17">
        <f>Loans[[#This Row],[POINTS]]/100*LoanAmount</f>
        <v>4000</v>
      </c>
      <c r="K23" s="17">
        <v>750</v>
      </c>
      <c r="L23" s="18">
        <f>SUM(Loans[[#This Row],[$ POINTS]:[$ CLOSING]])</f>
        <v>4750</v>
      </c>
      <c r="M23" s="18">
        <f>IFERROR(PMT(Loans[[#This Row],[RATE]]/12,Loans[[#This Row],[YEARS AMORTIZED]]*12,-LoanAmount,1),"")</f>
        <v>803.29923307916533</v>
      </c>
      <c r="N23" s="1">
        <v>5</v>
      </c>
      <c r="O23" s="1">
        <v>2</v>
      </c>
      <c r="P23" s="1">
        <v>5</v>
      </c>
    </row>
    <row r="24" spans="1:17" ht="15" customHeight="1" x14ac:dyDescent="0.3">
      <c r="B24" s="14">
        <v>1</v>
      </c>
      <c r="C24" s="13" t="s">
        <v>20</v>
      </c>
      <c r="D24" s="13" t="s">
        <v>3</v>
      </c>
      <c r="E24" s="14">
        <v>30</v>
      </c>
      <c r="F24" s="14">
        <v>30</v>
      </c>
      <c r="G24" s="15">
        <v>3.5000000000000003E-2</v>
      </c>
      <c r="H24" s="15">
        <v>3.755E-2</v>
      </c>
      <c r="I24" s="16">
        <v>1.75</v>
      </c>
      <c r="J24" s="17">
        <f>Loans[[#This Row],[POINTS]]/100*LoanAmount</f>
        <v>3500.0000000000005</v>
      </c>
      <c r="K24" s="17">
        <v>500</v>
      </c>
      <c r="L24" s="18">
        <f>SUM(Loans[[#This Row],[$ POINTS]:[$ CLOSING]])</f>
        <v>4000.0000000000005</v>
      </c>
      <c r="M24" s="18">
        <f>IFERROR(PMT(Loans[[#This Row],[RATE]]/12,Loans[[#This Row],[YEARS AMORTIZED]]*12,-LoanAmount,1),"")</f>
        <v>898.08780183743761</v>
      </c>
      <c r="N24" s="1"/>
      <c r="O24" s="1"/>
      <c r="P24" s="1"/>
    </row>
    <row r="25" spans="1:17" ht="15" customHeight="1" x14ac:dyDescent="0.3">
      <c r="B25" s="12">
        <v>2</v>
      </c>
      <c r="C25" s="13" t="s">
        <v>20</v>
      </c>
      <c r="D25" s="13" t="s">
        <v>3</v>
      </c>
      <c r="E25" s="14">
        <v>15</v>
      </c>
      <c r="F25" s="14">
        <v>15</v>
      </c>
      <c r="G25" s="15">
        <v>2.8750000000000001E-2</v>
      </c>
      <c r="H25" s="15">
        <v>3.2910000000000002E-2</v>
      </c>
      <c r="I25" s="16">
        <v>1.5</v>
      </c>
      <c r="J25" s="17">
        <f>Loans[[#This Row],[POINTS]]/100*LoanAmount</f>
        <v>3000</v>
      </c>
      <c r="K25" s="17">
        <v>1200</v>
      </c>
      <c r="L25" s="18">
        <f>SUM(Loans[[#This Row],[$ POINTS]:[$ CLOSING]])</f>
        <v>4200</v>
      </c>
      <c r="M25" s="18">
        <f>IFERROR(PMT(Loans[[#This Row],[RATE]]/12,Loans[[#This Row],[YEARS AMORTIZED]]*12,-LoanAmount,1),"")</f>
        <v>1369.1669885772083</v>
      </c>
      <c r="N25" s="1"/>
      <c r="O25" s="1"/>
      <c r="P25" s="1"/>
    </row>
  </sheetData>
  <conditionalFormatting sqref="L22:L25">
    <cfRule type="dataBar" priority="6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{DBB2E042-4081-4F3C-A97D-4341FBA1A709}</x14:id>
        </ext>
      </extLst>
    </cfRule>
  </conditionalFormatting>
  <dataValidations count="1">
    <dataValidation type="list" allowBlank="1" showInputMessage="1" sqref="D22:D25">
      <formula1>"Fixed,Adjustable"</formula1>
    </dataValidation>
  </dataValidations>
  <pageMargins left="0.45" right="0.45" top="0.75" bottom="0.75" header="0.3" footer="0.3"/>
  <pageSetup scale="64" fitToHeight="0" orientation="landscape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B2E042-4081-4F3C-A97D-4341FBA1A7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L22:L25</xm:sqref>
        </x14:conditionalFormatting>
      </x14:conditionalFormattings>
    </ext>
  </extLst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B0FE9034-DDD9-421B-BC7B-4393D610F2B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Home Loan Comparison</vt:lpstr>
      <vt:lpstr>LoanAmount</vt:lpstr>
      <vt:lpstr>'Home Loan Comparison'!Print_Titles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2012-11-13T22:38:42.0000000Z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TC038452589991</vt:lpwstr>
  </property>
</Properties>
</file>